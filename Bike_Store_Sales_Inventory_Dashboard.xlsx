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86D64487-2FCF-D44C-81EC-3D609A0D1B69}" xr6:coauthVersionLast="47" xr6:coauthVersionMax="47" xr10:uidLastSave="{00000000-0000-0000-0000-000000000000}"/>
  <bookViews>
    <workbookView xWindow="0" yWindow="0" windowWidth="28800" windowHeight="18000" activeTab="1" xr2:uid="{668CBEBC-FEA5-2F48-B2D8-22711D4D6B16}"/>
  </bookViews>
  <sheets>
    <sheet name="Sheet2" sheetId="2" r:id="rId1"/>
    <sheet name="Sheet3" sheetId="5" r:id="rId2"/>
    <sheet name="Sheet4" sheetId="4" r:id="rId3"/>
    <sheet name="Sheet1" sheetId="1" r:id="rId4"/>
  </sheets>
  <definedNames>
    <definedName name="_xlchart.v1.0" hidden="1">Sheet1!$W$4:$W$10</definedName>
    <definedName name="_xlchart.v1.1" hidden="1">Sheet1!$X$3</definedName>
    <definedName name="_xlchart.v1.2" hidden="1">Sheet1!$X$4:$X$10</definedName>
    <definedName name="_xlchart.v1.6" hidden="1">Sheet1!$W$4:$W$10</definedName>
    <definedName name="_xlchart.v1.7" hidden="1">Sheet1!$X$3</definedName>
    <definedName name="_xlchart.v1.8" hidden="1">Sheet1!$X$4:$X$10</definedName>
    <definedName name="_xlchart.v2.10" hidden="1">Sheet1!$R$3</definedName>
    <definedName name="_xlchart.v2.11" hidden="1">Sheet1!$R$4:$R$6</definedName>
    <definedName name="_xlchart.v2.12" hidden="1">Sheet1!$Q$4:$Q$6</definedName>
    <definedName name="_xlchart.v2.13" hidden="1">Sheet1!$R$3</definedName>
    <definedName name="_xlchart.v2.14" hidden="1">Sheet1!$R$4:$R$6</definedName>
    <definedName name="_xlchart.v2.15" hidden="1">Sheet1!$Q$4:$Q$6</definedName>
    <definedName name="_xlchart.v2.16" hidden="1">Sheet1!$R$3</definedName>
    <definedName name="_xlchart.v2.17" hidden="1">Sheet1!$R$4:$R$6</definedName>
    <definedName name="_xlchart.v2.3" hidden="1">Sheet1!$Q$4:$Q$6</definedName>
    <definedName name="_xlchart.v2.4" hidden="1">Sheet1!$R$3</definedName>
    <definedName name="_xlchart.v2.5" hidden="1">Sheet1!$R$4:$R$6</definedName>
    <definedName name="_xlchart.v2.9" hidden="1">Sheet1!$Q$4:$Q$6</definedName>
  </definedNames>
  <calcPr calcId="181029"/>
  <pivotCaches>
    <pivotCache cacheId="16" r:id="rId5"/>
    <pivotCache cacheId="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<sst xmlns="http://schemas.openxmlformats.org/spreadsheetml/2006/main" count="82" uniqueCount="59">
  <si>
    <t xml:space="preserve">Total Sales </t>
  </si>
  <si>
    <t>Total Order</t>
  </si>
  <si>
    <t>Average Order Value</t>
  </si>
  <si>
    <t>Total Customers</t>
  </si>
  <si>
    <t>Total Quantity</t>
  </si>
  <si>
    <t>product_name</t>
  </si>
  <si>
    <t>Trek Slash 8 27.5 - 2016</t>
  </si>
  <si>
    <t>Trek Conduit+ - 2016</t>
  </si>
  <si>
    <t>Trek Fuel EX 8 29 - 2016</t>
  </si>
  <si>
    <t>Surly Straggler 650b - 2016</t>
  </si>
  <si>
    <t>Trek Domane SLR 6 Disc - 2017</t>
  </si>
  <si>
    <t>Surly Straggler - 2016</t>
  </si>
  <si>
    <t>Trek Remedy 29 Carbon Frameset - 2016</t>
  </si>
  <si>
    <t>Trek Powerfly 8 FS Plus - 2017</t>
  </si>
  <si>
    <t>Trek Madone 9.2 - 2017</t>
  </si>
  <si>
    <t>Trek Silque SLR 8 Women's - 2017</t>
  </si>
  <si>
    <t>Sales</t>
  </si>
  <si>
    <t>Row Labels</t>
  </si>
  <si>
    <t>Grand Total</t>
  </si>
  <si>
    <t>Sum of Sales</t>
  </si>
  <si>
    <t>Year</t>
  </si>
  <si>
    <t>Month</t>
  </si>
  <si>
    <t>Electra Cruiser 1 (24-Inch) - 2016</t>
  </si>
  <si>
    <t>Electra Townie Original 7D EQ - 2016</t>
  </si>
  <si>
    <t>Electra Townie Original 21D - 2016</t>
  </si>
  <si>
    <t>Electra Girl's Hawaii 1 (16-inch) - 2015/2016</t>
  </si>
  <si>
    <t>Surly Ice Cream Truck Frameset - 2016</t>
  </si>
  <si>
    <t>Electra Girl's Hawaii 1 (20-inch) - 2015/2016</t>
  </si>
  <si>
    <t>Electra Townie Original 7D - 2015/2016</t>
  </si>
  <si>
    <t>store_name</t>
  </si>
  <si>
    <t>Baldwin Bikes</t>
  </si>
  <si>
    <t>Santa Cruz Bikes</t>
  </si>
  <si>
    <t>Rowlett Bikes</t>
  </si>
  <si>
    <t xml:space="preserve">Full Name </t>
  </si>
  <si>
    <t>Marcelene Boyer</t>
  </si>
  <si>
    <t>Venita Daniel</t>
  </si>
  <si>
    <t>Genna Serrano</t>
  </si>
  <si>
    <t>Mireya Copeland</t>
  </si>
  <si>
    <t>Kali Vargas</t>
  </si>
  <si>
    <t>Layla Terrell</t>
  </si>
  <si>
    <t>Mountain Bikes</t>
  </si>
  <si>
    <t>Road Bikes</t>
  </si>
  <si>
    <t>Cruisers Bicycles</t>
  </si>
  <si>
    <t>Electric Bikes</t>
  </si>
  <si>
    <t>Cyclocross Bicycles</t>
  </si>
  <si>
    <t>Comfort Bicycles</t>
  </si>
  <si>
    <t>Children Bicycles</t>
  </si>
  <si>
    <t>category_name</t>
  </si>
  <si>
    <t>Trek Domane ALR 4 Disc Women's - 2018</t>
  </si>
  <si>
    <t>Trek Domane SLR Frameset - 2018</t>
  </si>
  <si>
    <t>Heller Shagamaw Frame - 2016</t>
  </si>
  <si>
    <t>Sun Bicycles Streamway 7 - 2017</t>
  </si>
  <si>
    <t>Trek Emonda SLR 8 - 2018</t>
  </si>
  <si>
    <t>Electra Koa 3i Ladies' - 2018</t>
  </si>
  <si>
    <t>Electra Cruiser 1 Ladies' - 2018</t>
  </si>
  <si>
    <t>Electra Townie Original 21D Ladies' - 2018</t>
  </si>
  <si>
    <t>Electra Superbolt 1 20" - 2018</t>
  </si>
  <si>
    <t>Sun Bicycles Biscayne Tandem 7 - 2017</t>
  </si>
  <si>
    <t>stock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</si>
</sst>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0" fontId="2" fillId="2" borderId="0" xfId="0" applyFont="1" applyFill="1"/>
    <xf numFmtId="0" fontId="0" fillId="2" borderId="0" xfId="0" applyFill="1"/>
    <xf numFmtId="168" fontId="0" fillId="0" borderId="0" xfId="1" applyNumberFormat="1" applyFont="1"/>
  </cellXfs>
  <cellStyles count="2">
    <cellStyle name="Comma" xfId="1" builtinId="3"/>
    <cellStyle name="Normal" xfId="0" builtinId="0"/>
  </cellStyles>
  <dxfs count="1">
    <dxf>
      <numFmt numFmtId="168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[project_Analyses.xlsx]Sheet2!PivotTable1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Sheet2!$A$2:$A$12</c:f>
              <c:strCache>
                <c:ptCount val="10"/>
                <c:pt idx="0">
                  <c:v>Surly Straggler - 2016</c:v>
                </c:pt>
                <c:pt idx="1">
                  <c:v>Surly Straggler 650b - 2016</c:v>
                </c:pt>
                <c:pt idx="2">
                  <c:v>Trek Conduit+ - 2016</c:v>
                </c:pt>
                <c:pt idx="3">
                  <c:v>Trek Domane SLR 6 Disc - 2017</c:v>
                </c:pt>
                <c:pt idx="4">
                  <c:v>Trek Fuel EX 8 29 - 2016</c:v>
                </c:pt>
                <c:pt idx="5">
                  <c:v>Trek Madone 9.2 - 2017</c:v>
                </c:pt>
                <c:pt idx="6">
                  <c:v>Trek Powerfly 8 FS Plus - 2017</c:v>
                </c:pt>
                <c:pt idx="7">
                  <c:v>Trek Remedy 29 Carbon Frameset - 2016</c:v>
                </c:pt>
                <c:pt idx="8">
                  <c:v>Trek Silque SLR 8 Women's - 2017</c:v>
                </c:pt>
                <c:pt idx="9">
                  <c:v>Trek Slash 8 27.5 - 2016</c:v>
                </c:pt>
              </c:strCache>
            </c:strRef>
          </c:cat>
          <c:val>
            <c:numRef>
              <c:f>Sheet2!$B$2:$B$12</c:f>
              <c:numCache>
                <c:formatCode>#,##0</c:formatCode>
                <c:ptCount val="10"/>
                <c:pt idx="0">
                  <c:v>203507.62</c:v>
                </c:pt>
                <c:pt idx="1">
                  <c:v>226765.55100000001</c:v>
                </c:pt>
                <c:pt idx="2">
                  <c:v>386848.71049999999</c:v>
                </c:pt>
                <c:pt idx="3">
                  <c:v>211584.6153</c:v>
                </c:pt>
                <c:pt idx="4">
                  <c:v>368472.72940000001</c:v>
                </c:pt>
                <c:pt idx="5">
                  <c:v>175899.6482</c:v>
                </c:pt>
                <c:pt idx="6">
                  <c:v>188249.62349999999</c:v>
                </c:pt>
                <c:pt idx="7">
                  <c:v>203380.8701</c:v>
                </c:pt>
                <c:pt idx="8">
                  <c:v>174524.73149999999</c:v>
                </c:pt>
                <c:pt idx="9">
                  <c:v>551958.62009999994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6-F54D-BE83-2EBBFAC1CC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9526608"/>
        <c:axId val="1799528320"/>
      </c:barChart>
      <c:catAx>
        <c:axId val="179952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799528320"/>
        <c:crosses val="autoZero"/>
        <c:auto val="1"/>
        <c:lblAlgn val="ctr"/>
        <c:lblOffset val="100"/>
        <c:noMultiLvlLbl val="0"/>
      </c:catAx>
      <c:valAx>
        <c:axId val="17995283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79952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[project_Analyses.xlsx]Sheet4!PivotTable3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Sheet4!$A$4:$A$41</c:f>
              <c:multiLvlStrCache>
                <c:ptCount val="3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6</c:v>
                  </c:pt>
                  <c:pt idx="29">
                    <c:v>7</c:v>
                  </c:pt>
                  <c:pt idx="30">
                    <c:v>8</c:v>
                  </c:pt>
                  <c:pt idx="31">
                    <c:v>10</c:v>
                  </c:pt>
                  <c:pt idx="32">
                    <c:v>11</c:v>
                  </c:pt>
                  <c:pt idx="33">
                    <c:v>12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</c:lvl>
              </c:multiLvlStrCache>
            </c:multiLvlStrRef>
          </c:cat>
          <c:val>
            <c:numRef>
              <c:f>Sheet4!$B$4:$B$41</c:f>
              <c:numCache>
                <c:formatCode>General</c:formatCode>
                <c:ptCount val="34"/>
                <c:pt idx="0">
                  <c:v>215146.4241</c:v>
                </c:pt>
                <c:pt idx="1">
                  <c:v>156112.32279999999</c:v>
                </c:pt>
                <c:pt idx="2">
                  <c:v>180600.3285</c:v>
                </c:pt>
                <c:pt idx="3">
                  <c:v>167144.05119999999</c:v>
                </c:pt>
                <c:pt idx="4">
                  <c:v>205270.0091</c:v>
                </c:pt>
                <c:pt idx="5">
                  <c:v>210562.12450000001</c:v>
                </c:pt>
                <c:pt idx="6">
                  <c:v>199556.8089</c:v>
                </c:pt>
                <c:pt idx="7">
                  <c:v>225657.37669999999</c:v>
                </c:pt>
                <c:pt idx="8">
                  <c:v>273091.60969999997</c:v>
                </c:pt>
                <c:pt idx="9">
                  <c:v>212078.08050000001</c:v>
                </c:pt>
                <c:pt idx="10">
                  <c:v>182329.4124</c:v>
                </c:pt>
                <c:pt idx="11">
                  <c:v>199829.9792</c:v>
                </c:pt>
                <c:pt idx="12">
                  <c:v>285616.484</c:v>
                </c:pt>
                <c:pt idx="13">
                  <c:v>312923.74699999997</c:v>
                </c:pt>
                <c:pt idx="14">
                  <c:v>308911.90179999999</c:v>
                </c:pt>
                <c:pt idx="15">
                  <c:v>227290.91310000001</c:v>
                </c:pt>
                <c:pt idx="16">
                  <c:v>268233.23790000001</c:v>
                </c:pt>
                <c:pt idx="17">
                  <c:v>378865.65350000001</c:v>
                </c:pt>
                <c:pt idx="18">
                  <c:v>229995.39790000001</c:v>
                </c:pt>
                <c:pt idx="19">
                  <c:v>284023.39270000003</c:v>
                </c:pt>
                <c:pt idx="20">
                  <c:v>293405.2561</c:v>
                </c:pt>
                <c:pt idx="21">
                  <c:v>310328.30900000001</c:v>
                </c:pt>
                <c:pt idx="22">
                  <c:v>281577.9019</c:v>
                </c:pt>
                <c:pt idx="23">
                  <c:v>259505.98490000001</c:v>
                </c:pt>
                <c:pt idx="24">
                  <c:v>381430.0993</c:v>
                </c:pt>
                <c:pt idx="25">
                  <c:v>200658.06150000001</c:v>
                </c:pt>
                <c:pt idx="26">
                  <c:v>363990.99349999998</c:v>
                </c:pt>
                <c:pt idx="27">
                  <c:v>800740.81530000002</c:v>
                </c:pt>
                <c:pt idx="28">
                  <c:v>188.99100000000001</c:v>
                </c:pt>
                <c:pt idx="29">
                  <c:v>11337.9002</c:v>
                </c:pt>
                <c:pt idx="30">
                  <c:v>8377.8147000000008</c:v>
                </c:pt>
                <c:pt idx="31">
                  <c:v>3781.1284000000001</c:v>
                </c:pt>
                <c:pt idx="32">
                  <c:v>11362.007100000001</c:v>
                </c:pt>
                <c:pt idx="33">
                  <c:v>6516.9666999999999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74-3D4B-A1AF-CC640DE1F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8681472"/>
        <c:axId val="41685935"/>
      </c:lineChart>
      <c:catAx>
        <c:axId val="208868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41685935"/>
        <c:crosses val="autoZero"/>
        <c:auto val="1"/>
        <c:lblAlgn val="ctr"/>
        <c:lblOffset val="100"/>
        <c:noMultiLvlLbl val="0"/>
      </c:catAx>
      <c:valAx>
        <c:axId val="4168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208868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Products by Quantity Sold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>
        <c:manualLayout>
          <c:layoutTarget val="inner"/>
          <c:xMode val="edge"/>
          <c:yMode val="edge"/>
          <c:x val="0.48734951881014871"/>
          <c:y val="0.10191082802547771"/>
          <c:w val="0.46309492563429572"/>
          <c:h val="0.824235668789808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Sheet1!$N$4:$N$13</c:f>
              <c:strCache>
                <c:ptCount val="10"/>
                <c:pt idx="0">
                  <c:v>Surly Straggler - 2016</c:v>
                </c:pt>
                <c:pt idx="1">
                  <c:v>Electra Townie Original 7D - 2015/2016</c:v>
                </c:pt>
                <c:pt idx="2">
                  <c:v>Surly Straggler 650b - 2016</c:v>
                </c:pt>
                <c:pt idx="3">
                  <c:v>Trek Slash 8 27.5 - 2016</c:v>
                </c:pt>
                <c:pt idx="4">
                  <c:v>Electra Girl's Hawaii 1 (20-inch) - 2015/2016</c:v>
                </c:pt>
                <c:pt idx="5">
                  <c:v>Surly Ice Cream Truck Frameset - 2016</c:v>
                </c:pt>
                <c:pt idx="6">
                  <c:v>Electra Girl's Hawaii 1 (16-inch) - 2015/2016</c:v>
                </c:pt>
                <c:pt idx="7">
                  <c:v>Electra Townie Original 21D - 2016</c:v>
                </c:pt>
                <c:pt idx="8">
                  <c:v>Electra Townie Original 7D EQ - 2016</c:v>
                </c:pt>
                <c:pt idx="9">
                  <c:v>Electra Cruiser 1 (24-Inch) - 2016</c:v>
                </c:pt>
              </c:strCache>
            </c:strRef>
          </c:cat>
          <c:val>
            <c:numRef>
              <c:f>Sheet1!$O$4:$O$13</c:f>
              <c:numCache>
                <c:formatCode>General</c:formatCode>
                <c:ptCount val="10"/>
                <c:pt idx="0">
                  <c:v>147</c:v>
                </c:pt>
                <c:pt idx="1">
                  <c:v>148</c:v>
                </c:pt>
                <c:pt idx="2">
                  <c:v>151</c:v>
                </c:pt>
                <c:pt idx="3">
                  <c:v>153</c:v>
                </c:pt>
                <c:pt idx="4">
                  <c:v>154</c:v>
                </c:pt>
                <c:pt idx="5">
                  <c:v>167</c:v>
                </c:pt>
                <c:pt idx="6">
                  <c:v>269</c:v>
                </c:pt>
                <c:pt idx="7">
                  <c:v>289</c:v>
                </c:pt>
                <c:pt idx="8">
                  <c:v>290</c:v>
                </c:pt>
                <c:pt idx="9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4-064C-A512-AF3ED4A22D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51528272"/>
        <c:axId val="1751529984"/>
      </c:barChart>
      <c:catAx>
        <c:axId val="1751528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751529984"/>
        <c:crosses val="autoZero"/>
        <c:auto val="1"/>
        <c:lblAlgn val="ctr"/>
        <c:lblOffset val="100"/>
        <c:noMultiLvlLbl val="0"/>
      </c:catAx>
      <c:valAx>
        <c:axId val="17515299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5152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Sales By Stores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Sheet1!$R$3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Sheet1!$Q$4:$Q$6</c:f>
              <c:strCache>
                <c:ptCount val="3"/>
                <c:pt idx="0">
                  <c:v>Baldwin Bikes</c:v>
                </c:pt>
                <c:pt idx="1">
                  <c:v>Santa Cruz Bikes</c:v>
                </c:pt>
                <c:pt idx="2">
                  <c:v>Rowlett Bikes</c:v>
                </c:pt>
              </c:strCache>
            </c:strRef>
          </c:cat>
          <c:val>
            <c:numRef>
              <c:f>Sheet1!$R$4:$R$6</c:f>
              <c:numCache>
                <c:formatCode>General</c:formatCode>
                <c:ptCount val="3"/>
                <c:pt idx="0">
                  <c:v>5183076.2050000001</c:v>
                </c:pt>
                <c:pt idx="1">
                  <c:v>1605823.0364999999</c:v>
                </c:pt>
                <c:pt idx="2">
                  <c:v>867542.24360000005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8-784A-A570-DDA5AE44BA2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Sheet1!$T$4:$T$9</c:f>
              <c:strCache>
                <c:ptCount val="6"/>
                <c:pt idx="0">
                  <c:v>Marcelene Boyer</c:v>
                </c:pt>
                <c:pt idx="1">
                  <c:v>Venita Daniel</c:v>
                </c:pt>
                <c:pt idx="2">
                  <c:v>Genna Serrano</c:v>
                </c:pt>
                <c:pt idx="3">
                  <c:v>Mireya Copeland</c:v>
                </c:pt>
                <c:pt idx="4">
                  <c:v>Kali Vargas</c:v>
                </c:pt>
                <c:pt idx="5">
                  <c:v>Layla Terrell</c:v>
                </c:pt>
              </c:strCache>
            </c:strRef>
          </c:cat>
          <c:val>
            <c:numRef>
              <c:f>Sheet1!$U$4:$U$9</c:f>
              <c:numCache>
                <c:formatCode>General</c:formatCode>
                <c:ptCount val="6"/>
                <c:pt idx="0">
                  <c:v>2624120.6529999999</c:v>
                </c:pt>
                <c:pt idx="1">
                  <c:v>2558955.5520000001</c:v>
                </c:pt>
                <c:pt idx="2">
                  <c:v>853287.35889999999</c:v>
                </c:pt>
                <c:pt idx="3">
                  <c:v>752535.67760000005</c:v>
                </c:pt>
                <c:pt idx="4">
                  <c:v>463918.30459999997</c:v>
                </c:pt>
                <c:pt idx="5">
                  <c:v>403623.93900000001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D-CE47-B7E9-80D92515C5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6727312"/>
        <c:axId val="1886889840"/>
      </c:barChart>
      <c:catAx>
        <c:axId val="18867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886889840"/>
        <c:crosses val="autoZero"/>
        <c:auto val="1"/>
        <c:lblAlgn val="ctr"/>
        <c:lblOffset val="100"/>
        <c:noMultiLvlLbl val="0"/>
      </c:catAx>
      <c:valAx>
        <c:axId val="18868898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8672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Sales By Categorys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>
        <c:manualLayout>
          <c:layoutTarget val="inner"/>
          <c:xMode val="edge"/>
          <c:yMode val="edge"/>
          <c:x val="0.24454768153980752"/>
          <c:y val="0.25969806405778223"/>
          <c:w val="0.52201574803149609"/>
          <c:h val="0.706487478538866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Sheet1!$X$3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C3-4048-B3FC-10E7380BD82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C3-4048-B3FC-10E7380BD82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C3-4048-B3FC-10E7380BD82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C3-4048-B3FC-10E7380BD82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3C3-4048-B3FC-10E7380BD82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3C3-4048-B3FC-10E7380BD82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3C3-4048-B3FC-10E7380BD8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Sheet1!$W$4:$W$10</c:f>
              <c:strCache>
                <c:ptCount val="7"/>
                <c:pt idx="0">
                  <c:v>Mountain Bikes</c:v>
                </c:pt>
                <c:pt idx="1">
                  <c:v>Road Bikes</c:v>
                </c:pt>
                <c:pt idx="2">
                  <c:v>Cruisers Bicycles</c:v>
                </c:pt>
                <c:pt idx="3">
                  <c:v>Electric Bikes</c:v>
                </c:pt>
                <c:pt idx="4">
                  <c:v>Cyclocross Bicycles</c:v>
                </c:pt>
                <c:pt idx="5">
                  <c:v>Comfort Bicycles</c:v>
                </c:pt>
                <c:pt idx="6">
                  <c:v>Children Bicycles</c:v>
                </c:pt>
              </c:strCache>
            </c:strRef>
          </c:cat>
          <c:val>
            <c:numRef>
              <c:f>Sheet1!$X$4:$X$10</c:f>
              <c:numCache>
                <c:formatCode>_(* #,##0_);_(* \(#,##0\);_(* "-"??_);_(@_)</c:formatCode>
                <c:ptCount val="7"/>
                <c:pt idx="0">
                  <c:v>2699500.5803</c:v>
                </c:pt>
                <c:pt idx="1">
                  <c:v>2699500.5803</c:v>
                </c:pt>
                <c:pt idx="2">
                  <c:v>2699500.5803</c:v>
                </c:pt>
                <c:pt idx="3">
                  <c:v>2699500.5803</c:v>
                </c:pt>
                <c:pt idx="4">
                  <c:v>2699500.5803</c:v>
                </c:pt>
                <c:pt idx="5">
                  <c:v>2699500.5803</c:v>
                </c:pt>
                <c:pt idx="6">
                  <c:v>2699500.5803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C3-4048-B3FC-10E7380BD8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34474064"/>
        <c:axId val="1134812656"/>
      </c:barChart>
      <c:valAx>
        <c:axId val="11348126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134474064"/>
        <c:crossBetween val="between"/>
      </c:valAx>
      <c:catAx>
        <c:axId val="1134474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1348126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[project_Analyses.xlsx]Sheet2!PivotTable1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Sheet2!$A$2:$A$12</c:f>
              <c:strCache>
                <c:ptCount val="10"/>
                <c:pt idx="0">
                  <c:v>Surly Straggler - 2016</c:v>
                </c:pt>
                <c:pt idx="1">
                  <c:v>Surly Straggler 650b - 2016</c:v>
                </c:pt>
                <c:pt idx="2">
                  <c:v>Trek Conduit+ - 2016</c:v>
                </c:pt>
                <c:pt idx="3">
                  <c:v>Trek Domane SLR 6 Disc - 2017</c:v>
                </c:pt>
                <c:pt idx="4">
                  <c:v>Trek Fuel EX 8 29 - 2016</c:v>
                </c:pt>
                <c:pt idx="5">
                  <c:v>Trek Madone 9.2 - 2017</c:v>
                </c:pt>
                <c:pt idx="6">
                  <c:v>Trek Powerfly 8 FS Plus - 2017</c:v>
                </c:pt>
                <c:pt idx="7">
                  <c:v>Trek Remedy 29 Carbon Frameset - 2016</c:v>
                </c:pt>
                <c:pt idx="8">
                  <c:v>Trek Silque SLR 8 Women's - 2017</c:v>
                </c:pt>
                <c:pt idx="9">
                  <c:v>Trek Slash 8 27.5 - 2016</c:v>
                </c:pt>
              </c:strCache>
            </c:strRef>
          </c:cat>
          <c:val>
            <c:numRef>
              <c:f>Sheet2!$B$2:$B$12</c:f>
              <c:numCache>
                <c:formatCode>#,##0</c:formatCode>
                <c:ptCount val="10"/>
                <c:pt idx="0">
                  <c:v>203507.62</c:v>
                </c:pt>
                <c:pt idx="1">
                  <c:v>226765.55100000001</c:v>
                </c:pt>
                <c:pt idx="2">
                  <c:v>386848.71049999999</c:v>
                </c:pt>
                <c:pt idx="3">
                  <c:v>211584.6153</c:v>
                </c:pt>
                <c:pt idx="4">
                  <c:v>368472.72940000001</c:v>
                </c:pt>
                <c:pt idx="5">
                  <c:v>175899.6482</c:v>
                </c:pt>
                <c:pt idx="6">
                  <c:v>188249.62349999999</c:v>
                </c:pt>
                <c:pt idx="7">
                  <c:v>203380.8701</c:v>
                </c:pt>
                <c:pt idx="8">
                  <c:v>174524.73149999999</c:v>
                </c:pt>
                <c:pt idx="9">
                  <c:v>551958.62009999994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F-2B41-BAE4-E9BEF6B711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9526608"/>
        <c:axId val="1799528320"/>
      </c:barChart>
      <c:catAx>
        <c:axId val="179952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799528320"/>
        <c:crosses val="autoZero"/>
        <c:auto val="1"/>
        <c:lblAlgn val="ctr"/>
        <c:lblOffset val="100"/>
        <c:noMultiLvlLbl val="0"/>
      </c:catAx>
      <c:valAx>
        <c:axId val="17995283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799526608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ysClr val="windowText" lastClr="000000"/>
          </a:solidFill>
        </a:defRPr>
      </a:pPr>
      <a:endParaRPr lang="en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[project_Analyses.xlsx]Sheet4!PivotTable3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Time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Sheet4!$A$4:$A$41</c:f>
              <c:multiLvlStrCache>
                <c:ptCount val="3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6</c:v>
                  </c:pt>
                  <c:pt idx="29">
                    <c:v>7</c:v>
                  </c:pt>
                  <c:pt idx="30">
                    <c:v>8</c:v>
                  </c:pt>
                  <c:pt idx="31">
                    <c:v>10</c:v>
                  </c:pt>
                  <c:pt idx="32">
                    <c:v>11</c:v>
                  </c:pt>
                  <c:pt idx="33">
                    <c:v>12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</c:lvl>
              </c:multiLvlStrCache>
            </c:multiLvlStrRef>
          </c:cat>
          <c:val>
            <c:numRef>
              <c:f>Sheet4!$B$4:$B$41</c:f>
              <c:numCache>
                <c:formatCode>General</c:formatCode>
                <c:ptCount val="34"/>
                <c:pt idx="0">
                  <c:v>215146.4241</c:v>
                </c:pt>
                <c:pt idx="1">
                  <c:v>156112.32279999999</c:v>
                </c:pt>
                <c:pt idx="2">
                  <c:v>180600.3285</c:v>
                </c:pt>
                <c:pt idx="3">
                  <c:v>167144.05119999999</c:v>
                </c:pt>
                <c:pt idx="4">
                  <c:v>205270.0091</c:v>
                </c:pt>
                <c:pt idx="5">
                  <c:v>210562.12450000001</c:v>
                </c:pt>
                <c:pt idx="6">
                  <c:v>199556.8089</c:v>
                </c:pt>
                <c:pt idx="7">
                  <c:v>225657.37669999999</c:v>
                </c:pt>
                <c:pt idx="8">
                  <c:v>273091.60969999997</c:v>
                </c:pt>
                <c:pt idx="9">
                  <c:v>212078.08050000001</c:v>
                </c:pt>
                <c:pt idx="10">
                  <c:v>182329.4124</c:v>
                </c:pt>
                <c:pt idx="11">
                  <c:v>199829.9792</c:v>
                </c:pt>
                <c:pt idx="12">
                  <c:v>285616.484</c:v>
                </c:pt>
                <c:pt idx="13">
                  <c:v>312923.74699999997</c:v>
                </c:pt>
                <c:pt idx="14">
                  <c:v>308911.90179999999</c:v>
                </c:pt>
                <c:pt idx="15">
                  <c:v>227290.91310000001</c:v>
                </c:pt>
                <c:pt idx="16">
                  <c:v>268233.23790000001</c:v>
                </c:pt>
                <c:pt idx="17">
                  <c:v>378865.65350000001</c:v>
                </c:pt>
                <c:pt idx="18">
                  <c:v>229995.39790000001</c:v>
                </c:pt>
                <c:pt idx="19">
                  <c:v>284023.39270000003</c:v>
                </c:pt>
                <c:pt idx="20">
                  <c:v>293405.2561</c:v>
                </c:pt>
                <c:pt idx="21">
                  <c:v>310328.30900000001</c:v>
                </c:pt>
                <c:pt idx="22">
                  <c:v>281577.9019</c:v>
                </c:pt>
                <c:pt idx="23">
                  <c:v>259505.98490000001</c:v>
                </c:pt>
                <c:pt idx="24">
                  <c:v>381430.0993</c:v>
                </c:pt>
                <c:pt idx="25">
                  <c:v>200658.06150000001</c:v>
                </c:pt>
                <c:pt idx="26">
                  <c:v>363990.99349999998</c:v>
                </c:pt>
                <c:pt idx="27">
                  <c:v>800740.81530000002</c:v>
                </c:pt>
                <c:pt idx="28">
                  <c:v>188.99100000000001</c:v>
                </c:pt>
                <c:pt idx="29">
                  <c:v>11337.9002</c:v>
                </c:pt>
                <c:pt idx="30">
                  <c:v>8377.8147000000008</c:v>
                </c:pt>
                <c:pt idx="31">
                  <c:v>3781.1284000000001</c:v>
                </c:pt>
                <c:pt idx="32">
                  <c:v>11362.007100000001</c:v>
                </c:pt>
                <c:pt idx="33">
                  <c:v>6516.9666999999999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6-2C4C-97EB-4CF41C142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8681472"/>
        <c:axId val="41685935"/>
      </c:lineChart>
      <c:catAx>
        <c:axId val="208868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41685935"/>
        <c:crosses val="autoZero"/>
        <c:auto val="1"/>
        <c:lblAlgn val="ctr"/>
        <c:lblOffset val="100"/>
        <c:noMultiLvlLbl val="0"/>
      </c:catAx>
      <c:valAx>
        <c:axId val="4168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208868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Products by Quantity Sold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>
        <c:manualLayout>
          <c:layoutTarget val="inner"/>
          <c:xMode val="edge"/>
          <c:yMode val="edge"/>
          <c:x val="0.48734951881014871"/>
          <c:y val="0.10191082802547771"/>
          <c:w val="0.46309492563429572"/>
          <c:h val="0.824235668789808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Sheet1!$N$4:$N$13</c:f>
              <c:strCache>
                <c:ptCount val="10"/>
                <c:pt idx="0">
                  <c:v>Surly Straggler - 2016</c:v>
                </c:pt>
                <c:pt idx="1">
                  <c:v>Electra Townie Original 7D - 2015/2016</c:v>
                </c:pt>
                <c:pt idx="2">
                  <c:v>Surly Straggler 650b - 2016</c:v>
                </c:pt>
                <c:pt idx="3">
                  <c:v>Trek Slash 8 27.5 - 2016</c:v>
                </c:pt>
                <c:pt idx="4">
                  <c:v>Electra Girl's Hawaii 1 (20-inch) - 2015/2016</c:v>
                </c:pt>
                <c:pt idx="5">
                  <c:v>Surly Ice Cream Truck Frameset - 2016</c:v>
                </c:pt>
                <c:pt idx="6">
                  <c:v>Electra Girl's Hawaii 1 (16-inch) - 2015/2016</c:v>
                </c:pt>
                <c:pt idx="7">
                  <c:v>Electra Townie Original 21D - 2016</c:v>
                </c:pt>
                <c:pt idx="8">
                  <c:v>Electra Townie Original 7D EQ - 2016</c:v>
                </c:pt>
                <c:pt idx="9">
                  <c:v>Electra Cruiser 1 (24-Inch) - 2016</c:v>
                </c:pt>
              </c:strCache>
            </c:strRef>
          </c:cat>
          <c:val>
            <c:numRef>
              <c:f>Sheet1!$O$4:$O$13</c:f>
              <c:numCache>
                <c:formatCode>General</c:formatCode>
                <c:ptCount val="10"/>
                <c:pt idx="0">
                  <c:v>147</c:v>
                </c:pt>
                <c:pt idx="1">
                  <c:v>148</c:v>
                </c:pt>
                <c:pt idx="2">
                  <c:v>151</c:v>
                </c:pt>
                <c:pt idx="3">
                  <c:v>153</c:v>
                </c:pt>
                <c:pt idx="4">
                  <c:v>154</c:v>
                </c:pt>
                <c:pt idx="5">
                  <c:v>167</c:v>
                </c:pt>
                <c:pt idx="6">
                  <c:v>269</c:v>
                </c:pt>
                <c:pt idx="7">
                  <c:v>289</c:v>
                </c:pt>
                <c:pt idx="8">
                  <c:v>290</c:v>
                </c:pt>
                <c:pt idx="9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8-D642-B209-70A358ABF1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51528272"/>
        <c:axId val="1751529984"/>
      </c:barChart>
      <c:catAx>
        <c:axId val="17515282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751529984"/>
        <c:crosses val="autoZero"/>
        <c:auto val="1"/>
        <c:lblAlgn val="ctr"/>
        <c:lblOffset val="100"/>
        <c:noMultiLvlLbl val="0"/>
      </c:catAx>
      <c:valAx>
        <c:axId val="17515299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5152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Sales Staff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Sheet1!$T$4:$T$9</c:f>
              <c:strCache>
                <c:ptCount val="6"/>
                <c:pt idx="0">
                  <c:v>Marcelene Boyer</c:v>
                </c:pt>
                <c:pt idx="1">
                  <c:v>Venita Daniel</c:v>
                </c:pt>
                <c:pt idx="2">
                  <c:v>Genna Serrano</c:v>
                </c:pt>
                <c:pt idx="3">
                  <c:v>Mireya Copeland</c:v>
                </c:pt>
                <c:pt idx="4">
                  <c:v>Kali Vargas</c:v>
                </c:pt>
                <c:pt idx="5">
                  <c:v>Layla Terrell</c:v>
                </c:pt>
              </c:strCache>
            </c:strRef>
          </c:cat>
          <c:val>
            <c:numRef>
              <c:f>Sheet1!$U$4:$U$9</c:f>
              <c:numCache>
                <c:formatCode>General</c:formatCode>
                <c:ptCount val="6"/>
                <c:pt idx="0">
                  <c:v>2624120.6529999999</c:v>
                </c:pt>
                <c:pt idx="1">
                  <c:v>2558955.5520000001</c:v>
                </c:pt>
                <c:pt idx="2">
                  <c:v>853287.35889999999</c:v>
                </c:pt>
                <c:pt idx="3">
                  <c:v>752535.67760000005</c:v>
                </c:pt>
                <c:pt idx="4">
                  <c:v>463918.30459999997</c:v>
                </c:pt>
                <c:pt idx="5">
                  <c:v>403623.93900000001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4-5742-A7C6-CD9BC200D5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6727312"/>
        <c:axId val="1886889840"/>
      </c:barChart>
      <c:catAx>
        <c:axId val="18867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886889840"/>
        <c:crosses val="autoZero"/>
        <c:auto val="1"/>
        <c:lblAlgn val="ctr"/>
        <c:lblOffset val="100"/>
        <c:noMultiLvlLbl val="0"/>
      </c:catAx>
      <c:valAx>
        <c:axId val="18868898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8672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Sales By Stores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Sheet1!$R$3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68-BD46-8B5C-F97ABAD9F4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68-BD46-8B5C-F97ABAD9F4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68-BD46-8B5C-F97ABAD9F4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Sheet1!$Q$4:$Q$6</c:f>
              <c:strCache>
                <c:ptCount val="3"/>
                <c:pt idx="0">
                  <c:v>Baldwin Bikes</c:v>
                </c:pt>
                <c:pt idx="1">
                  <c:v>Santa Cruz Bikes</c:v>
                </c:pt>
                <c:pt idx="2">
                  <c:v>Rowlett Bikes</c:v>
                </c:pt>
              </c:strCache>
            </c:strRef>
          </c:cat>
          <c:val>
            <c:numRef>
              <c:f>Sheet1!$R$4:$R$6</c:f>
              <c:numCache>
                <c:formatCode>General</c:formatCode>
                <c:ptCount val="3"/>
                <c:pt idx="0">
                  <c:v>5183076.2050000001</c:v>
                </c:pt>
                <c:pt idx="1">
                  <c:v>1605823.0364999999</c:v>
                </c:pt>
                <c:pt idx="2">
                  <c:v>867542.24360000005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68-BD46-8B5C-F97ABAD9F48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Sales By Categorys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>
        <c:manualLayout>
          <c:layoutTarget val="inner"/>
          <c:xMode val="edge"/>
          <c:yMode val="edge"/>
          <c:x val="0.24454768153980752"/>
          <c:y val="0.25969806405778223"/>
          <c:w val="0.52201574803149609"/>
          <c:h val="0.706487478538866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Sheet1!$X$3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46-D145-90CE-CFD4DB6135C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46-D145-90CE-CFD4DB6135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46-D145-90CE-CFD4DB6135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46-D145-90CE-CFD4DB6135C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46-D145-90CE-CFD4DB6135C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946-D145-90CE-CFD4DB6135C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946-D145-90CE-CFD4DB6135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Sheet1!$W$4:$W$10</c:f>
              <c:strCache>
                <c:ptCount val="7"/>
                <c:pt idx="0">
                  <c:v>Mountain Bikes</c:v>
                </c:pt>
                <c:pt idx="1">
                  <c:v>Road Bikes</c:v>
                </c:pt>
                <c:pt idx="2">
                  <c:v>Cruisers Bicycles</c:v>
                </c:pt>
                <c:pt idx="3">
                  <c:v>Electric Bikes</c:v>
                </c:pt>
                <c:pt idx="4">
                  <c:v>Cyclocross Bicycles</c:v>
                </c:pt>
                <c:pt idx="5">
                  <c:v>Comfort Bicycles</c:v>
                </c:pt>
                <c:pt idx="6">
                  <c:v>Children Bicycles</c:v>
                </c:pt>
              </c:strCache>
            </c:strRef>
          </c:cat>
          <c:val>
            <c:numRef>
              <c:f>Sheet1!$X$4:$X$10</c:f>
              <c:numCache>
                <c:formatCode>_(* #,##0_);_(* \(#,##0\);_(* "-"??_);_(@_)</c:formatCode>
                <c:ptCount val="7"/>
                <c:pt idx="0">
                  <c:v>2699500.5803</c:v>
                </c:pt>
                <c:pt idx="1">
                  <c:v>2699500.5803</c:v>
                </c:pt>
                <c:pt idx="2">
                  <c:v>2699500.5803</c:v>
                </c:pt>
                <c:pt idx="3">
                  <c:v>2699500.5803</c:v>
                </c:pt>
                <c:pt idx="4">
                  <c:v>2699500.5803</c:v>
                </c:pt>
                <c:pt idx="5">
                  <c:v>2699500.5803</c:v>
                </c:pt>
                <c:pt idx="6">
                  <c:v>2699500.5803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946-D145-90CE-CFD4DB6135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34474064"/>
        <c:axId val="1134812656"/>
      </c:barChart>
      <c:valAx>
        <c:axId val="11348126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134474064"/>
        <c:crosses val="autoZero"/>
        <c:crossBetween val="between"/>
      </c:valAx>
      <c:catAx>
        <c:axId val="1134474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1134812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9.xml"/><Relationship Id="rId7" Type="http://schemas.openxmlformats.org/officeDocument/2006/relationships/chart" Target="../charts/chart11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8</xdr:row>
      <xdr:rowOff>76200</xdr:rowOff>
    </xdr:from>
    <xdr:to>
      <xdr:col>10</xdr:col>
      <xdr:colOff>469900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E37AC2-0AAF-36CB-4954-C2522C3A9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787400</xdr:colOff>
      <xdr:row>23</xdr:row>
      <xdr:rowOff>127000</xdr:rowOff>
    </xdr:from>
    <xdr:to>
      <xdr:col>21</xdr:col>
      <xdr:colOff>279400</xdr:colOff>
      <xdr:row>37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C00FFD-C82E-044C-8B24-335EB6361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203200</xdr:colOff>
      <xdr:row>4</xdr:row>
      <xdr:rowOff>88900</xdr:rowOff>
    </xdr:from>
    <xdr:to>
      <xdr:col>16</xdr:col>
      <xdr:colOff>647700</xdr:colOff>
      <xdr:row>22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B2A7A9-3DA6-6B4E-960E-9709B4D58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393700</xdr:colOff>
      <xdr:row>4</xdr:row>
      <xdr:rowOff>12700</xdr:rowOff>
    </xdr:from>
    <xdr:to>
      <xdr:col>25</xdr:col>
      <xdr:colOff>12700</xdr:colOff>
      <xdr:row>17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F29C5D-D553-5C49-94D4-C91E02F27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21</xdr:row>
      <xdr:rowOff>0</xdr:rowOff>
    </xdr:from>
    <xdr:to>
      <xdr:col>32</xdr:col>
      <xdr:colOff>444500</xdr:colOff>
      <xdr:row>34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C3438C-FA04-0A4C-931E-0679C72A6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241300</xdr:colOff>
      <xdr:row>0</xdr:row>
      <xdr:rowOff>152400</xdr:rowOff>
    </xdr:from>
    <xdr:to>
      <xdr:col>30</xdr:col>
      <xdr:colOff>609600</xdr:colOff>
      <xdr:row>17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1FD2358-6B4E-A84D-AF72-9FFDC73D0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177800</xdr:colOff>
      <xdr:row>5</xdr:row>
      <xdr:rowOff>177800</xdr:rowOff>
    </xdr:from>
    <xdr:to>
      <xdr:col>21</xdr:col>
      <xdr:colOff>114300</xdr:colOff>
      <xdr:row>10</xdr:row>
      <xdr:rowOff>88900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D6BB73CF-8A06-F80F-F5A8-E8BFE0737E72}"/>
            </a:ext>
          </a:extLst>
        </xdr:cNvPr>
        <xdr:cNvGrpSpPr/>
      </xdr:nvGrpSpPr>
      <xdr:grpSpPr>
        <a:xfrm>
          <a:off x="1003300" y="1193800"/>
          <a:ext cx="16446500" cy="927100"/>
          <a:chOff x="1003300" y="1282700"/>
          <a:chExt cx="16446500" cy="927100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FFA41EC0-2737-B9E2-9536-180758B519DE}"/>
              </a:ext>
            </a:extLst>
          </xdr:cNvPr>
          <xdr:cNvGrpSpPr/>
        </xdr:nvGrpSpPr>
        <xdr:grpSpPr>
          <a:xfrm>
            <a:off x="1003300" y="1282700"/>
            <a:ext cx="2984500" cy="927100"/>
            <a:chOff x="1003300" y="1282700"/>
            <a:chExt cx="2984500" cy="927100"/>
          </a:xfrm>
        </xdr:grpSpPr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7457581-636C-C2E1-D92E-ADF8BA4CBC25}"/>
                </a:ext>
              </a:extLst>
            </xdr:cNvPr>
            <xdr:cNvSpPr txBox="1"/>
          </xdr:nvSpPr>
          <xdr:spPr>
            <a:xfrm>
              <a:off x="1168400" y="1282700"/>
              <a:ext cx="2527300" cy="9271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b"/>
            <a:lstStyle/>
            <a:p>
              <a:pPr algn="ctr"/>
              <a:r>
                <a:rPr lang="en-US" sz="2000"/>
                <a:t>1444</a:t>
              </a: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F942EC6-C12B-6441-6A0F-86445FC06969}"/>
                </a:ext>
              </a:extLst>
            </xdr:cNvPr>
            <xdr:cNvSpPr txBox="1"/>
          </xdr:nvSpPr>
          <xdr:spPr>
            <a:xfrm>
              <a:off x="1003300" y="1282700"/>
              <a:ext cx="2984500" cy="5334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Total Customers</a:t>
              </a: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451363BF-9FEA-5644-99E8-2B5673900F4F}"/>
              </a:ext>
            </a:extLst>
          </xdr:cNvPr>
          <xdr:cNvGrpSpPr/>
        </xdr:nvGrpSpPr>
        <xdr:grpSpPr>
          <a:xfrm>
            <a:off x="14465300" y="1282700"/>
            <a:ext cx="2984500" cy="927100"/>
            <a:chOff x="1003300" y="1282700"/>
            <a:chExt cx="2984500" cy="927100"/>
          </a:xfrm>
        </xdr:grpSpPr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F7E2018-47FB-5E3A-E9AB-08A749944BAB}"/>
                </a:ext>
              </a:extLst>
            </xdr:cNvPr>
            <xdr:cNvSpPr txBox="1"/>
          </xdr:nvSpPr>
          <xdr:spPr>
            <a:xfrm>
              <a:off x="1168400" y="1282700"/>
              <a:ext cx="2527300" cy="9271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b"/>
            <a:lstStyle/>
            <a:p>
              <a:pPr algn="ctr"/>
              <a:r>
                <a:rPr lang="en-US" sz="2000"/>
                <a:t>7062</a:t>
              </a:r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07FC376-8EFB-BB67-B0E4-3AE7F6968322}"/>
                </a:ext>
              </a:extLst>
            </xdr:cNvPr>
            <xdr:cNvSpPr txBox="1"/>
          </xdr:nvSpPr>
          <xdr:spPr>
            <a:xfrm>
              <a:off x="1003300" y="1282700"/>
              <a:ext cx="2984500" cy="5334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Total Quantity</a:t>
              </a:r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2842B139-30F2-084D-99BD-BAD05BF8104E}"/>
              </a:ext>
            </a:extLst>
          </xdr:cNvPr>
          <xdr:cNvGrpSpPr/>
        </xdr:nvGrpSpPr>
        <xdr:grpSpPr>
          <a:xfrm>
            <a:off x="11099800" y="1282700"/>
            <a:ext cx="2984500" cy="927100"/>
            <a:chOff x="1003300" y="1282700"/>
            <a:chExt cx="2984500" cy="927100"/>
          </a:xfrm>
        </xdr:grpSpPr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7CAA947-D998-DFFA-912D-D12D0E140702}"/>
                </a:ext>
              </a:extLst>
            </xdr:cNvPr>
            <xdr:cNvSpPr txBox="1"/>
          </xdr:nvSpPr>
          <xdr:spPr>
            <a:xfrm>
              <a:off x="1168400" y="1282700"/>
              <a:ext cx="2527300" cy="9271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b"/>
            <a:lstStyle/>
            <a:p>
              <a:pPr algn="ctr"/>
              <a:r>
                <a:rPr lang="en-US" sz="2000"/>
                <a:t>4,749.65</a:t>
              </a: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20A1356-1B30-F1E2-956C-59D58A1099FE}"/>
                </a:ext>
              </a:extLst>
            </xdr:cNvPr>
            <xdr:cNvSpPr txBox="1"/>
          </xdr:nvSpPr>
          <xdr:spPr>
            <a:xfrm>
              <a:off x="1003300" y="1282700"/>
              <a:ext cx="2984500" cy="5334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Average Order Value</a:t>
              </a: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EA3BB3E7-E585-B84B-AB06-A5619DD87AFB}"/>
              </a:ext>
            </a:extLst>
          </xdr:cNvPr>
          <xdr:cNvGrpSpPr/>
        </xdr:nvGrpSpPr>
        <xdr:grpSpPr>
          <a:xfrm>
            <a:off x="7759700" y="1282700"/>
            <a:ext cx="2984500" cy="927100"/>
            <a:chOff x="1003300" y="1282700"/>
            <a:chExt cx="2984500" cy="927100"/>
          </a:xfrm>
        </xdr:grpSpPr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EAECC9F3-6007-F4BF-4B15-4E8274DA10CD}"/>
                </a:ext>
              </a:extLst>
            </xdr:cNvPr>
            <xdr:cNvSpPr txBox="1"/>
          </xdr:nvSpPr>
          <xdr:spPr>
            <a:xfrm>
              <a:off x="1168400" y="1282700"/>
              <a:ext cx="2527300" cy="9271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b"/>
            <a:lstStyle/>
            <a:p>
              <a:pPr algn="ctr"/>
              <a:r>
                <a:rPr lang="en-US" sz="2000"/>
                <a:t>7,656,441</a:t>
              </a:r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162295B-F92B-8C7E-7CF4-2DB27026959F}"/>
                </a:ext>
              </a:extLst>
            </xdr:cNvPr>
            <xdr:cNvSpPr txBox="1"/>
          </xdr:nvSpPr>
          <xdr:spPr>
            <a:xfrm>
              <a:off x="1003300" y="1282700"/>
              <a:ext cx="2984500" cy="5334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Total Sales </a:t>
              </a:r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522653BE-304F-0246-A03B-0B9B0758FE39}"/>
              </a:ext>
            </a:extLst>
          </xdr:cNvPr>
          <xdr:cNvGrpSpPr/>
        </xdr:nvGrpSpPr>
        <xdr:grpSpPr>
          <a:xfrm>
            <a:off x="4432300" y="1282700"/>
            <a:ext cx="2984500" cy="927100"/>
            <a:chOff x="1003300" y="1282700"/>
            <a:chExt cx="2984500" cy="927100"/>
          </a:xfrm>
        </xdr:grpSpPr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1B17338A-1774-11C9-9992-189E229E28F6}"/>
                </a:ext>
              </a:extLst>
            </xdr:cNvPr>
            <xdr:cNvSpPr txBox="1"/>
          </xdr:nvSpPr>
          <xdr:spPr>
            <a:xfrm>
              <a:off x="1168400" y="1282700"/>
              <a:ext cx="2527300" cy="9271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b"/>
            <a:lstStyle/>
            <a:p>
              <a:pPr algn="ctr"/>
              <a:r>
                <a:rPr lang="en-US" sz="2000"/>
                <a:t>1612</a:t>
              </a:r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EE11B242-148E-6B09-88F9-B2A0902E2501}"/>
                </a:ext>
              </a:extLst>
            </xdr:cNvPr>
            <xdr:cNvSpPr txBox="1"/>
          </xdr:nvSpPr>
          <xdr:spPr>
            <a:xfrm>
              <a:off x="1003300" y="1282700"/>
              <a:ext cx="2984500" cy="5334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Total Order</a:t>
              </a:r>
            </a:p>
          </xdr:txBody>
        </xdr:sp>
      </xdr:grpSp>
    </xdr:grpSp>
    <xdr:clientData/>
  </xdr:twoCellAnchor>
  <xdr:twoCellAnchor>
    <xdr:from>
      <xdr:col>0</xdr:col>
      <xdr:colOff>139700</xdr:colOff>
      <xdr:row>28</xdr:row>
      <xdr:rowOff>76200</xdr:rowOff>
    </xdr:from>
    <xdr:to>
      <xdr:col>9</xdr:col>
      <xdr:colOff>533400</xdr:colOff>
      <xdr:row>42</xdr:row>
      <xdr:rowOff>50800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D554FF0-501C-9B40-BEF9-4C8604FFA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114300</xdr:colOff>
      <xdr:row>25</xdr:row>
      <xdr:rowOff>139700</xdr:rowOff>
    </xdr:from>
    <xdr:to>
      <xdr:col>21</xdr:col>
      <xdr:colOff>660400</xdr:colOff>
      <xdr:row>41</xdr:row>
      <xdr:rowOff>190500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C2F90EC-8346-F645-A790-D7B4B99CE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10</xdr:row>
      <xdr:rowOff>139700</xdr:rowOff>
    </xdr:from>
    <xdr:to>
      <xdr:col>5</xdr:col>
      <xdr:colOff>571500</xdr:colOff>
      <xdr:row>29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83C0C01-20A2-3C4D-994B-A9A23341F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25400</xdr:colOff>
      <xdr:row>10</xdr:row>
      <xdr:rowOff>165100</xdr:rowOff>
    </xdr:from>
    <xdr:to>
      <xdr:col>21</xdr:col>
      <xdr:colOff>469900</xdr:colOff>
      <xdr:row>24</xdr:row>
      <xdr:rowOff>114300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CF483FA5-F17E-2846-AD71-0E7BC058D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304800</xdr:colOff>
      <xdr:row>73</xdr:row>
      <xdr:rowOff>101600</xdr:rowOff>
    </xdr:to>
    <xdr:sp macro="" textlink="">
      <xdr:nvSpPr>
        <xdr:cNvPr id="2049" name="AutoShape 1" descr="Motor Bike Logo Vector Art, Icons, and Graphics for Free Download">
          <a:extLst>
            <a:ext uri="{FF2B5EF4-FFF2-40B4-BE49-F238E27FC236}">
              <a16:creationId xmlns:a16="http://schemas.microsoft.com/office/drawing/2014/main" id="{779C0A30-0116-FFEE-EC1C-F1AA68AD2219}"/>
            </a:ext>
          </a:extLst>
        </xdr:cNvPr>
        <xdr:cNvSpPr>
          <a:spLocks noChangeAspect="1" noChangeArrowheads="1"/>
        </xdr:cNvSpPr>
      </xdr:nvSpPr>
      <xdr:spPr bwMode="auto">
        <a:xfrm>
          <a:off x="3302000" y="146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228600</xdr:colOff>
      <xdr:row>0</xdr:row>
      <xdr:rowOff>76200</xdr:rowOff>
    </xdr:from>
    <xdr:to>
      <xdr:col>5</xdr:col>
      <xdr:colOff>254000</xdr:colOff>
      <xdr:row>5</xdr:row>
      <xdr:rowOff>63500</xdr:rowOff>
    </xdr:to>
    <xdr:pic>
      <xdr:nvPicPr>
        <xdr:cNvPr id="35" name="Picture 34" descr="Motor Bike Logo Vector Art, Icons, and Graphics for Free Download">
          <a:extLst>
            <a:ext uri="{FF2B5EF4-FFF2-40B4-BE49-F238E27FC236}">
              <a16:creationId xmlns:a16="http://schemas.microsoft.com/office/drawing/2014/main" id="{82151884-2024-8ADA-E689-F5DF58CB7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-50000"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6200"/>
          <a:ext cx="4152900" cy="100330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</xdr:pic>
    <xdr:clientData/>
  </xdr:twoCellAnchor>
  <xdr:twoCellAnchor>
    <xdr:from>
      <xdr:col>5</xdr:col>
      <xdr:colOff>419100</xdr:colOff>
      <xdr:row>0</xdr:row>
      <xdr:rowOff>50800</xdr:rowOff>
    </xdr:from>
    <xdr:to>
      <xdr:col>21</xdr:col>
      <xdr:colOff>596900</xdr:colOff>
      <xdr:row>5</xdr:row>
      <xdr:rowOff>38100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C9ABEB4-FB0E-2218-EA87-73520B05F674}"/>
            </a:ext>
          </a:extLst>
        </xdr:cNvPr>
        <xdr:cNvSpPr txBox="1"/>
      </xdr:nvSpPr>
      <xdr:spPr>
        <a:xfrm>
          <a:off x="4546600" y="50800"/>
          <a:ext cx="13385800" cy="100330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/>
            <a:t>Bike Store Sales &amp; Inventory Analysis Dashboard</a:t>
          </a:r>
        </a:p>
      </xdr:txBody>
    </xdr:sp>
    <xdr:clientData/>
  </xdr:twoCellAnchor>
  <xdr:twoCellAnchor>
    <xdr:from>
      <xdr:col>8</xdr:col>
      <xdr:colOff>571500</xdr:colOff>
      <xdr:row>10</xdr:row>
      <xdr:rowOff>165100</xdr:rowOff>
    </xdr:from>
    <xdr:to>
      <xdr:col>17</xdr:col>
      <xdr:colOff>304800</xdr:colOff>
      <xdr:row>26</xdr:row>
      <xdr:rowOff>50800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9C4FDFAA-0B05-164C-A154-28CB551F4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190500</xdr:colOff>
      <xdr:row>10</xdr:row>
      <xdr:rowOff>177800</xdr:rowOff>
    </xdr:from>
    <xdr:to>
      <xdr:col>10</xdr:col>
      <xdr:colOff>749300</xdr:colOff>
      <xdr:row>28</xdr:row>
      <xdr:rowOff>190500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DCF7A5CD-9264-AC45-9A4D-8D1E2D0DD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alla" refreshedDate="46184.963458796294" createdVersion="8" refreshedVersion="8" minRefreshableVersion="3" recordCount="10" xr:uid="{0E942125-329F-E14F-9BF4-C74828182214}">
  <cacheSource type="worksheet">
    <worksheetSource name="Table5"/>
  </cacheSource>
  <cacheFields count="2">
    <cacheField name="product_name" numFmtId="0">
      <sharedItems count="10">
        <s v="Trek Slash 8 27.5 - 2016"/>
        <s v="Trek Conduit+ - 2016"/>
        <s v="Trek Fuel EX 8 29 - 2016"/>
        <s v="Surly Straggler 650b - 2016"/>
        <s v="Trek Domane SLR 6 Disc - 2017"/>
        <s v="Surly Straggler - 2016"/>
        <s v="Trek Remedy 29 Carbon Frameset - 2016"/>
        <s v="Trek Powerfly 8 FS Plus - 2017"/>
        <s v="Trek Madone 9.2 - 2017"/>
        <s v="Trek Silque SLR 8 Women's - 2017"/>
      </sharedItems>
    </cacheField>
    <cacheField name="Sales" numFmtId="0">
      <sharedItems containsSemiMixedTypes="0" containsString="0" containsNumber="1" minValue="174524.73149999999" maxValue="551958.6200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alla" refreshedDate="46184.96986435185" createdVersion="8" refreshedVersion="8" minRefreshableVersion="3" recordCount="34" xr:uid="{82803026-C67A-9F4F-BF36-FBEDE0298491}">
  <cacheSource type="worksheet">
    <worksheetSource name="Table7"/>
  </cacheSource>
  <cacheFields count="3">
    <cacheField name="Year" numFmtId="0">
      <sharedItems containsSemiMixedTypes="0" containsString="0" containsNumber="1" containsInteger="1" minValue="2016" maxValue="2018" count="3">
        <n v="2016"/>
        <n v="2017"/>
        <n v="2018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Sales" numFmtId="0">
      <sharedItems containsSemiMixedTypes="0" containsString="0" containsNumber="1" minValue="188.99100000000001" maxValue="800740.8153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51958.62009999994"/>
  </r>
  <r>
    <x v="1"/>
    <n v="386848.71049999999"/>
  </r>
  <r>
    <x v="2"/>
    <n v="368472.72940000001"/>
  </r>
  <r>
    <x v="3"/>
    <n v="226765.55100000001"/>
  </r>
  <r>
    <x v="4"/>
    <n v="211584.6153"/>
  </r>
  <r>
    <x v="5"/>
    <n v="203507.62"/>
  </r>
  <r>
    <x v="6"/>
    <n v="203380.8701"/>
  </r>
  <r>
    <x v="7"/>
    <n v="188249.62349999999"/>
  </r>
  <r>
    <x v="8"/>
    <n v="175899.6482"/>
  </r>
  <r>
    <x v="9"/>
    <n v="174524.7314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n v="215146.4241"/>
  </r>
  <r>
    <x v="0"/>
    <x v="1"/>
    <n v="156112.32279999999"/>
  </r>
  <r>
    <x v="0"/>
    <x v="2"/>
    <n v="180600.3285"/>
  </r>
  <r>
    <x v="0"/>
    <x v="3"/>
    <n v="167144.05119999999"/>
  </r>
  <r>
    <x v="0"/>
    <x v="4"/>
    <n v="205270.0091"/>
  </r>
  <r>
    <x v="0"/>
    <x v="5"/>
    <n v="210562.12450000001"/>
  </r>
  <r>
    <x v="0"/>
    <x v="6"/>
    <n v="199556.8089"/>
  </r>
  <r>
    <x v="0"/>
    <x v="7"/>
    <n v="225657.37669999999"/>
  </r>
  <r>
    <x v="0"/>
    <x v="8"/>
    <n v="273091.60969999997"/>
  </r>
  <r>
    <x v="0"/>
    <x v="9"/>
    <n v="212078.08050000001"/>
  </r>
  <r>
    <x v="0"/>
    <x v="10"/>
    <n v="182329.4124"/>
  </r>
  <r>
    <x v="0"/>
    <x v="11"/>
    <n v="199829.9792"/>
  </r>
  <r>
    <x v="1"/>
    <x v="0"/>
    <n v="285616.484"/>
  </r>
  <r>
    <x v="1"/>
    <x v="1"/>
    <n v="312923.74699999997"/>
  </r>
  <r>
    <x v="1"/>
    <x v="2"/>
    <n v="308911.90179999999"/>
  </r>
  <r>
    <x v="1"/>
    <x v="3"/>
    <n v="227290.91310000001"/>
  </r>
  <r>
    <x v="1"/>
    <x v="4"/>
    <n v="268233.23790000001"/>
  </r>
  <r>
    <x v="1"/>
    <x v="5"/>
    <n v="378865.65350000001"/>
  </r>
  <r>
    <x v="1"/>
    <x v="6"/>
    <n v="229995.39790000001"/>
  </r>
  <r>
    <x v="1"/>
    <x v="7"/>
    <n v="284023.39270000003"/>
  </r>
  <r>
    <x v="1"/>
    <x v="8"/>
    <n v="293405.2561"/>
  </r>
  <r>
    <x v="1"/>
    <x v="9"/>
    <n v="310328.30900000001"/>
  </r>
  <r>
    <x v="1"/>
    <x v="10"/>
    <n v="281577.9019"/>
  </r>
  <r>
    <x v="1"/>
    <x v="11"/>
    <n v="259505.98490000001"/>
  </r>
  <r>
    <x v="2"/>
    <x v="0"/>
    <n v="381430.0993"/>
  </r>
  <r>
    <x v="2"/>
    <x v="1"/>
    <n v="200658.06150000001"/>
  </r>
  <r>
    <x v="2"/>
    <x v="2"/>
    <n v="363990.99349999998"/>
  </r>
  <r>
    <x v="2"/>
    <x v="3"/>
    <n v="800740.81530000002"/>
  </r>
  <r>
    <x v="2"/>
    <x v="5"/>
    <n v="188.99100000000001"/>
  </r>
  <r>
    <x v="2"/>
    <x v="6"/>
    <n v="11337.9002"/>
  </r>
  <r>
    <x v="2"/>
    <x v="7"/>
    <n v="8377.8147000000008"/>
  </r>
  <r>
    <x v="2"/>
    <x v="9"/>
    <n v="3781.1284000000001"/>
  </r>
  <r>
    <x v="2"/>
    <x v="10"/>
    <n v="11362.007100000001"/>
  </r>
  <r>
    <x v="2"/>
    <x v="11"/>
    <n v="6516.9666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8D57F-EE0A-954C-8B79-698282F9DFEB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12" firstHeaderRow="1" firstDataRow="1" firstDataCol="1"/>
  <pivotFields count="2">
    <pivotField axis="axisRow" showAll="0">
      <items count="11">
        <item x="5"/>
        <item x="3"/>
        <item x="1"/>
        <item x="4"/>
        <item x="2"/>
        <item x="8"/>
        <item x="7"/>
        <item x="6"/>
        <item x="9"/>
        <item x="0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" baseField="0" baseItem="0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02DE9-7ED8-6849-BED3-B81A11C6FF10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41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2">
    <field x="0"/>
    <field x="1"/>
  </rowFields>
  <rowItems count="3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2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2C6A8D-E695-C94B-92F9-3C4FA5228B1B}" name="Table5" displayName="Table5" ref="F3:G13" totalsRowShown="0">
  <autoFilter ref="F3:G13" xr:uid="{5B2C6A8D-E695-C94B-92F9-3C4FA5228B1B}"/>
  <tableColumns count="2">
    <tableColumn id="1" xr3:uid="{1C29C5F7-8C7D-C54A-9CBC-E9C1FB35CFD8}" name="product_name"/>
    <tableColumn id="2" xr3:uid="{1920F5A2-F763-2746-95AD-65BC6A6B6B70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106126-DD72-2A49-B560-2717C99F85EC}" name="Table7" displayName="Table7" ref="I3:K37" totalsRowShown="0">
  <autoFilter ref="I3:K37" xr:uid="{C0106126-DD72-2A49-B560-2717C99F85EC}"/>
  <tableColumns count="3">
    <tableColumn id="1" xr3:uid="{504D17A1-491A-D346-8AC1-800BFD53E40E}" name="Year"/>
    <tableColumn id="2" xr3:uid="{DD0DACE9-508B-1E4C-B3D7-C8A09C6C53A1}" name="Month"/>
    <tableColumn id="3" xr3:uid="{60BEABC2-27AA-FF4E-B4CC-715DA97708B8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82626C-96BF-C647-AE89-C3D9D006F494}" name="Table8" displayName="Table8" ref="N3:O13" totalsRowShown="0">
  <autoFilter ref="N3:O13" xr:uid="{7E82626C-96BF-C647-AE89-C3D9D006F494}"/>
  <sortState xmlns:xlrd2="http://schemas.microsoft.com/office/spreadsheetml/2017/richdata2" ref="N4:O13">
    <sortCondition ref="O3:O13"/>
  </sortState>
  <tableColumns count="2">
    <tableColumn id="1" xr3:uid="{D7DFC392-6C1E-F14D-9C31-9198E0A977BC}" name="product_name"/>
    <tableColumn id="2" xr3:uid="{33C42D8A-EBDE-C145-A5FB-894178A7506A}" name="Total Quant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27818B8-0C51-914D-85FF-FB1CE9E8F6FD}" name="Table10" displayName="Table10" ref="T3:U9" totalsRowShown="0">
  <autoFilter ref="T3:U9" xr:uid="{C27818B8-0C51-914D-85FF-FB1CE9E8F6FD}"/>
  <tableColumns count="2">
    <tableColumn id="1" xr3:uid="{BD4BD9BE-BDAF-2541-A969-054011BE72BE}" name="Full Name "/>
    <tableColumn id="2" xr3:uid="{E899648C-16CE-9042-A86C-33F65B620353}" name="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D55621-00E3-4442-95C3-7BC7F9E2713D}" name="Table11" displayName="Table11" ref="W3:X10" totalsRowShown="0">
  <autoFilter ref="W3:X10" xr:uid="{79D55621-00E3-4442-95C3-7BC7F9E2713D}"/>
  <tableColumns count="2">
    <tableColumn id="1" xr3:uid="{D6751491-82E3-4142-8450-7FD1A38E43FE}" name="category_name"/>
    <tableColumn id="2" xr3:uid="{90ACFAA5-16A2-214F-87DC-12BA28C99937}" name="Sales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ACAF-BAB3-E840-AAA5-F0CF18A38ED6}">
  <sheetPr codeName="Sheet1"/>
  <dimension ref="A1:N12"/>
  <sheetViews>
    <sheetView topLeftCell="M1" workbookViewId="0">
      <selection activeCell="T12" sqref="T12"/>
    </sheetView>
  </sheetViews>
  <sheetFormatPr baseColWidth="10" defaultRowHeight="16" x14ac:dyDescent="0.2"/>
  <cols>
    <col min="1" max="1" width="35.1640625" bestFit="1" customWidth="1"/>
    <col min="2" max="2" width="11.83203125" bestFit="1" customWidth="1"/>
  </cols>
  <sheetData>
    <row r="1" spans="1:14" x14ac:dyDescent="0.2">
      <c r="A1" s="2" t="s">
        <v>17</v>
      </c>
      <c r="B1" t="s">
        <v>19</v>
      </c>
    </row>
    <row r="2" spans="1:14" x14ac:dyDescent="0.2">
      <c r="A2" s="3" t="s">
        <v>11</v>
      </c>
      <c r="B2" s="5">
        <v>203507.62</v>
      </c>
    </row>
    <row r="3" spans="1:14" x14ac:dyDescent="0.2">
      <c r="A3" s="3" t="s">
        <v>9</v>
      </c>
      <c r="B3" s="5">
        <v>226765.55100000001</v>
      </c>
    </row>
    <row r="4" spans="1:14" x14ac:dyDescent="0.2">
      <c r="A4" s="3" t="s">
        <v>7</v>
      </c>
      <c r="B4" s="5">
        <v>386848.71049999999</v>
      </c>
    </row>
    <row r="5" spans="1:14" x14ac:dyDescent="0.2">
      <c r="A5" s="3" t="s">
        <v>10</v>
      </c>
      <c r="B5" s="5">
        <v>211584.6153</v>
      </c>
    </row>
    <row r="6" spans="1:14" x14ac:dyDescent="0.2">
      <c r="A6" s="3" t="s">
        <v>8</v>
      </c>
      <c r="B6" s="5">
        <v>368472.72940000001</v>
      </c>
    </row>
    <row r="7" spans="1:14" x14ac:dyDescent="0.2">
      <c r="A7" s="3" t="s">
        <v>14</v>
      </c>
      <c r="B7" s="5">
        <v>175899.6482</v>
      </c>
    </row>
    <row r="8" spans="1:14" x14ac:dyDescent="0.2">
      <c r="A8" s="3" t="s">
        <v>13</v>
      </c>
      <c r="B8" s="5">
        <v>188249.62349999999</v>
      </c>
    </row>
    <row r="9" spans="1:14" x14ac:dyDescent="0.2">
      <c r="A9" s="3" t="s">
        <v>12</v>
      </c>
      <c r="B9" s="5">
        <v>203380.8701</v>
      </c>
      <c r="N9" s="1"/>
    </row>
    <row r="10" spans="1:14" x14ac:dyDescent="0.2">
      <c r="A10" s="3" t="s">
        <v>15</v>
      </c>
      <c r="B10" s="5">
        <v>174524.73149999999</v>
      </c>
    </row>
    <row r="11" spans="1:14" x14ac:dyDescent="0.2">
      <c r="A11" s="3" t="s">
        <v>6</v>
      </c>
      <c r="B11" s="5">
        <v>551958.62009999994</v>
      </c>
    </row>
    <row r="12" spans="1:14" x14ac:dyDescent="0.2">
      <c r="A12" s="3" t="s">
        <v>18</v>
      </c>
      <c r="B12" s="5">
        <v>2691192.7195999995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4A8A-5F12-DB43-8C8E-C91A281DF357}">
  <dimension ref="A1:V44"/>
  <sheetViews>
    <sheetView showGridLines="0" showRowColHeaders="0" tabSelected="1" zoomScaleNormal="100" workbookViewId="0">
      <selection activeCell="L52" sqref="L52"/>
    </sheetView>
  </sheetViews>
  <sheetFormatPr baseColWidth="10" defaultRowHeight="16" x14ac:dyDescent="0.2"/>
  <sheetData>
    <row r="1" spans="1:22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FFBE-A176-EE40-8DF3-1BB02F6690C8}">
  <sheetPr codeName="Sheet2"/>
  <dimension ref="A3:B41"/>
  <sheetViews>
    <sheetView workbookViewId="0">
      <selection activeCell="E22" sqref="E22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3" spans="1:2" x14ac:dyDescent="0.2">
      <c r="A3" s="2" t="s">
        <v>17</v>
      </c>
      <c r="B3" t="s">
        <v>19</v>
      </c>
    </row>
    <row r="4" spans="1:2" x14ac:dyDescent="0.2">
      <c r="A4" s="3">
        <v>2016</v>
      </c>
      <c r="B4">
        <v>2427378.5275999997</v>
      </c>
    </row>
    <row r="5" spans="1:2" x14ac:dyDescent="0.2">
      <c r="A5" s="4">
        <v>1</v>
      </c>
      <c r="B5">
        <v>215146.4241</v>
      </c>
    </row>
    <row r="6" spans="1:2" x14ac:dyDescent="0.2">
      <c r="A6" s="4">
        <v>2</v>
      </c>
      <c r="B6">
        <v>156112.32279999999</v>
      </c>
    </row>
    <row r="7" spans="1:2" x14ac:dyDescent="0.2">
      <c r="A7" s="4">
        <v>3</v>
      </c>
      <c r="B7">
        <v>180600.3285</v>
      </c>
    </row>
    <row r="8" spans="1:2" x14ac:dyDescent="0.2">
      <c r="A8" s="4">
        <v>4</v>
      </c>
      <c r="B8">
        <v>167144.05119999999</v>
      </c>
    </row>
    <row r="9" spans="1:2" x14ac:dyDescent="0.2">
      <c r="A9" s="4">
        <v>5</v>
      </c>
      <c r="B9">
        <v>205270.0091</v>
      </c>
    </row>
    <row r="10" spans="1:2" x14ac:dyDescent="0.2">
      <c r="A10" s="4">
        <v>6</v>
      </c>
      <c r="B10">
        <v>210562.12450000001</v>
      </c>
    </row>
    <row r="11" spans="1:2" x14ac:dyDescent="0.2">
      <c r="A11" s="4">
        <v>7</v>
      </c>
      <c r="B11">
        <v>199556.8089</v>
      </c>
    </row>
    <row r="12" spans="1:2" x14ac:dyDescent="0.2">
      <c r="A12" s="4">
        <v>8</v>
      </c>
      <c r="B12">
        <v>225657.37669999999</v>
      </c>
    </row>
    <row r="13" spans="1:2" x14ac:dyDescent="0.2">
      <c r="A13" s="4">
        <v>9</v>
      </c>
      <c r="B13">
        <v>273091.60969999997</v>
      </c>
    </row>
    <row r="14" spans="1:2" x14ac:dyDescent="0.2">
      <c r="A14" s="4">
        <v>10</v>
      </c>
      <c r="B14">
        <v>212078.08050000001</v>
      </c>
    </row>
    <row r="15" spans="1:2" x14ac:dyDescent="0.2">
      <c r="A15" s="4">
        <v>11</v>
      </c>
      <c r="B15">
        <v>182329.4124</v>
      </c>
    </row>
    <row r="16" spans="1:2" x14ac:dyDescent="0.2">
      <c r="A16" s="4">
        <v>12</v>
      </c>
      <c r="B16">
        <v>199829.9792</v>
      </c>
    </row>
    <row r="17" spans="1:2" x14ac:dyDescent="0.2">
      <c r="A17" s="3">
        <v>2017</v>
      </c>
      <c r="B17">
        <v>3440678.1797999996</v>
      </c>
    </row>
    <row r="18" spans="1:2" x14ac:dyDescent="0.2">
      <c r="A18" s="4">
        <v>1</v>
      </c>
      <c r="B18">
        <v>285616.484</v>
      </c>
    </row>
    <row r="19" spans="1:2" x14ac:dyDescent="0.2">
      <c r="A19" s="4">
        <v>2</v>
      </c>
      <c r="B19">
        <v>312923.74699999997</v>
      </c>
    </row>
    <row r="20" spans="1:2" x14ac:dyDescent="0.2">
      <c r="A20" s="4">
        <v>3</v>
      </c>
      <c r="B20">
        <v>308911.90179999999</v>
      </c>
    </row>
    <row r="21" spans="1:2" x14ac:dyDescent="0.2">
      <c r="A21" s="4">
        <v>4</v>
      </c>
      <c r="B21">
        <v>227290.91310000001</v>
      </c>
    </row>
    <row r="22" spans="1:2" x14ac:dyDescent="0.2">
      <c r="A22" s="4">
        <v>5</v>
      </c>
      <c r="B22">
        <v>268233.23790000001</v>
      </c>
    </row>
    <row r="23" spans="1:2" x14ac:dyDescent="0.2">
      <c r="A23" s="4">
        <v>6</v>
      </c>
      <c r="B23">
        <v>378865.65350000001</v>
      </c>
    </row>
    <row r="24" spans="1:2" x14ac:dyDescent="0.2">
      <c r="A24" s="4">
        <v>7</v>
      </c>
      <c r="B24">
        <v>229995.39790000001</v>
      </c>
    </row>
    <row r="25" spans="1:2" x14ac:dyDescent="0.2">
      <c r="A25" s="4">
        <v>8</v>
      </c>
      <c r="B25">
        <v>284023.39270000003</v>
      </c>
    </row>
    <row r="26" spans="1:2" x14ac:dyDescent="0.2">
      <c r="A26" s="4">
        <v>9</v>
      </c>
      <c r="B26">
        <v>293405.2561</v>
      </c>
    </row>
    <row r="27" spans="1:2" x14ac:dyDescent="0.2">
      <c r="A27" s="4">
        <v>10</v>
      </c>
      <c r="B27">
        <v>310328.30900000001</v>
      </c>
    </row>
    <row r="28" spans="1:2" x14ac:dyDescent="0.2">
      <c r="A28" s="4">
        <v>11</v>
      </c>
      <c r="B28">
        <v>281577.9019</v>
      </c>
    </row>
    <row r="29" spans="1:2" x14ac:dyDescent="0.2">
      <c r="A29" s="4">
        <v>12</v>
      </c>
      <c r="B29">
        <v>259505.98490000001</v>
      </c>
    </row>
    <row r="30" spans="1:2" x14ac:dyDescent="0.2">
      <c r="A30" s="3">
        <v>2018</v>
      </c>
      <c r="B30">
        <v>1788384.7777</v>
      </c>
    </row>
    <row r="31" spans="1:2" x14ac:dyDescent="0.2">
      <c r="A31" s="4">
        <v>1</v>
      </c>
      <c r="B31">
        <v>381430.0993</v>
      </c>
    </row>
    <row r="32" spans="1:2" x14ac:dyDescent="0.2">
      <c r="A32" s="4">
        <v>2</v>
      </c>
      <c r="B32">
        <v>200658.06150000001</v>
      </c>
    </row>
    <row r="33" spans="1:2" x14ac:dyDescent="0.2">
      <c r="A33" s="4">
        <v>3</v>
      </c>
      <c r="B33">
        <v>363990.99349999998</v>
      </c>
    </row>
    <row r="34" spans="1:2" x14ac:dyDescent="0.2">
      <c r="A34" s="4">
        <v>4</v>
      </c>
      <c r="B34">
        <v>800740.81530000002</v>
      </c>
    </row>
    <row r="35" spans="1:2" x14ac:dyDescent="0.2">
      <c r="A35" s="4">
        <v>6</v>
      </c>
      <c r="B35">
        <v>188.99100000000001</v>
      </c>
    </row>
    <row r="36" spans="1:2" x14ac:dyDescent="0.2">
      <c r="A36" s="4">
        <v>7</v>
      </c>
      <c r="B36">
        <v>11337.9002</v>
      </c>
    </row>
    <row r="37" spans="1:2" x14ac:dyDescent="0.2">
      <c r="A37" s="4">
        <v>8</v>
      </c>
      <c r="B37">
        <v>8377.8147000000008</v>
      </c>
    </row>
    <row r="38" spans="1:2" x14ac:dyDescent="0.2">
      <c r="A38" s="4">
        <v>10</v>
      </c>
      <c r="B38">
        <v>3781.1284000000001</v>
      </c>
    </row>
    <row r="39" spans="1:2" x14ac:dyDescent="0.2">
      <c r="A39" s="4">
        <v>11</v>
      </c>
      <c r="B39">
        <v>11362.007100000001</v>
      </c>
    </row>
    <row r="40" spans="1:2" x14ac:dyDescent="0.2">
      <c r="A40" s="4">
        <v>12</v>
      </c>
      <c r="B40">
        <v>6516.9666999999999</v>
      </c>
    </row>
    <row r="41" spans="1:2" x14ac:dyDescent="0.2">
      <c r="A41" s="3" t="s">
        <v>18</v>
      </c>
      <c r="B41">
        <v>7656441.4850999992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A275-1F53-2B45-84BD-FFBFDDC5FB58}">
  <sheetPr codeName="Sheet3"/>
  <dimension ref="A2:AA37"/>
  <sheetViews>
    <sheetView topLeftCell="M1" workbookViewId="0">
      <selection activeCell="U17" sqref="U17"/>
    </sheetView>
  </sheetViews>
  <sheetFormatPr baseColWidth="10" defaultRowHeight="16" x14ac:dyDescent="0.2"/>
  <cols>
    <col min="1" max="1" width="13.83203125" customWidth="1"/>
    <col min="5" max="5" width="11.6640625" customWidth="1"/>
    <col min="6" max="6" width="32.1640625" customWidth="1"/>
    <col min="14" max="14" width="38.33203125" customWidth="1"/>
    <col min="15" max="15" width="15.33203125" customWidth="1"/>
    <col min="17" max="17" width="14.5" customWidth="1"/>
    <col min="20" max="20" width="15.6640625" customWidth="1"/>
    <col min="21" max="21" width="13" customWidth="1"/>
    <col min="23" max="23" width="17.6640625" customWidth="1"/>
    <col min="24" max="24" width="14" bestFit="1" customWidth="1"/>
    <col min="26" max="26" width="35.6640625" customWidth="1"/>
  </cols>
  <sheetData>
    <row r="2" spans="1:27" x14ac:dyDescent="0.2">
      <c r="A2" t="s">
        <v>0</v>
      </c>
    </row>
    <row r="3" spans="1:27" x14ac:dyDescent="0.2">
      <c r="A3">
        <v>7656441.4851000002</v>
      </c>
      <c r="F3" t="s">
        <v>5</v>
      </c>
      <c r="G3" t="s">
        <v>16</v>
      </c>
      <c r="I3" t="s">
        <v>20</v>
      </c>
      <c r="J3" t="s">
        <v>21</v>
      </c>
      <c r="K3" t="s">
        <v>16</v>
      </c>
      <c r="N3" t="s">
        <v>5</v>
      </c>
      <c r="O3" t="s">
        <v>4</v>
      </c>
      <c r="Q3" t="s">
        <v>29</v>
      </c>
      <c r="R3" t="s">
        <v>16</v>
      </c>
      <c r="T3" t="s">
        <v>33</v>
      </c>
      <c r="U3" t="s">
        <v>16</v>
      </c>
      <c r="W3" t="s">
        <v>47</v>
      </c>
      <c r="X3" t="s">
        <v>16</v>
      </c>
      <c r="Z3" t="s">
        <v>5</v>
      </c>
      <c r="AA3" t="s">
        <v>58</v>
      </c>
    </row>
    <row r="4" spans="1:27" x14ac:dyDescent="0.2">
      <c r="F4" t="s">
        <v>6</v>
      </c>
      <c r="G4">
        <v>551958.62009999994</v>
      </c>
      <c r="I4">
        <v>2016</v>
      </c>
      <c r="J4">
        <v>1</v>
      </c>
      <c r="K4">
        <v>215146.4241</v>
      </c>
      <c r="N4" t="s">
        <v>11</v>
      </c>
      <c r="O4">
        <v>147</v>
      </c>
      <c r="Q4" t="s">
        <v>30</v>
      </c>
      <c r="R4">
        <v>5183076.2050000001</v>
      </c>
      <c r="T4" t="s">
        <v>34</v>
      </c>
      <c r="U4">
        <v>2624120.6529999999</v>
      </c>
      <c r="W4" t="s">
        <v>40</v>
      </c>
      <c r="X4" s="8">
        <v>2699500.5803</v>
      </c>
      <c r="Z4" t="s">
        <v>48</v>
      </c>
      <c r="AA4">
        <v>29</v>
      </c>
    </row>
    <row r="5" spans="1:27" x14ac:dyDescent="0.2">
      <c r="A5" t="s">
        <v>1</v>
      </c>
      <c r="F5" t="s">
        <v>7</v>
      </c>
      <c r="G5">
        <v>386848.71049999999</v>
      </c>
      <c r="I5">
        <v>2016</v>
      </c>
      <c r="J5">
        <v>2</v>
      </c>
      <c r="K5">
        <v>156112.32279999999</v>
      </c>
      <c r="N5" t="s">
        <v>28</v>
      </c>
      <c r="O5">
        <v>148</v>
      </c>
      <c r="Q5" t="s">
        <v>31</v>
      </c>
      <c r="R5">
        <v>1605823.0364999999</v>
      </c>
      <c r="T5" t="s">
        <v>35</v>
      </c>
      <c r="U5">
        <v>2558955.5520000001</v>
      </c>
      <c r="W5" t="s">
        <v>41</v>
      </c>
      <c r="X5" s="8">
        <v>2699500.5803</v>
      </c>
      <c r="Z5" t="s">
        <v>49</v>
      </c>
      <c r="AA5">
        <v>29</v>
      </c>
    </row>
    <row r="6" spans="1:27" x14ac:dyDescent="0.2">
      <c r="A6">
        <v>1612</v>
      </c>
      <c r="F6" t="s">
        <v>8</v>
      </c>
      <c r="G6">
        <v>368472.72940000001</v>
      </c>
      <c r="I6">
        <v>2016</v>
      </c>
      <c r="J6">
        <v>3</v>
      </c>
      <c r="K6">
        <v>180600.3285</v>
      </c>
      <c r="N6" t="s">
        <v>9</v>
      </c>
      <c r="O6">
        <v>151</v>
      </c>
      <c r="Q6" t="s">
        <v>32</v>
      </c>
      <c r="R6">
        <v>867542.24360000005</v>
      </c>
      <c r="T6" t="s">
        <v>36</v>
      </c>
      <c r="U6">
        <v>853287.35889999999</v>
      </c>
      <c r="W6" t="s">
        <v>42</v>
      </c>
      <c r="X6" s="8">
        <v>2699500.5803</v>
      </c>
      <c r="Z6" t="s">
        <v>50</v>
      </c>
      <c r="AA6">
        <v>30</v>
      </c>
    </row>
    <row r="7" spans="1:27" x14ac:dyDescent="0.2">
      <c r="F7" t="s">
        <v>9</v>
      </c>
      <c r="G7">
        <v>226765.55100000001</v>
      </c>
      <c r="I7">
        <v>2016</v>
      </c>
      <c r="J7">
        <v>4</v>
      </c>
      <c r="K7">
        <v>167144.05119999999</v>
      </c>
      <c r="N7" t="s">
        <v>6</v>
      </c>
      <c r="O7">
        <v>153</v>
      </c>
      <c r="T7" t="s">
        <v>37</v>
      </c>
      <c r="U7">
        <v>752535.67760000005</v>
      </c>
      <c r="W7" t="s">
        <v>43</v>
      </c>
      <c r="X7" s="8">
        <v>2699500.5803</v>
      </c>
      <c r="Z7" t="s">
        <v>51</v>
      </c>
      <c r="AA7">
        <v>30</v>
      </c>
    </row>
    <row r="8" spans="1:27" x14ac:dyDescent="0.2">
      <c r="A8" t="s">
        <v>2</v>
      </c>
      <c r="F8" t="s">
        <v>10</v>
      </c>
      <c r="G8">
        <v>211584.6153</v>
      </c>
      <c r="I8">
        <v>2016</v>
      </c>
      <c r="J8">
        <v>5</v>
      </c>
      <c r="K8">
        <v>205270.0091</v>
      </c>
      <c r="N8" t="s">
        <v>27</v>
      </c>
      <c r="O8">
        <v>154</v>
      </c>
      <c r="T8" t="s">
        <v>38</v>
      </c>
      <c r="U8">
        <v>463918.30459999997</v>
      </c>
      <c r="W8" t="s">
        <v>44</v>
      </c>
      <c r="X8" s="8">
        <v>2699500.5803</v>
      </c>
      <c r="Z8" t="s">
        <v>52</v>
      </c>
      <c r="AA8">
        <v>30</v>
      </c>
    </row>
    <row r="9" spans="1:27" x14ac:dyDescent="0.2">
      <c r="A9">
        <v>4749.6535260000001</v>
      </c>
      <c r="F9" t="s">
        <v>11</v>
      </c>
      <c r="G9">
        <v>203507.62</v>
      </c>
      <c r="I9">
        <v>2016</v>
      </c>
      <c r="J9">
        <v>6</v>
      </c>
      <c r="K9">
        <v>210562.12450000001</v>
      </c>
      <c r="N9" t="s">
        <v>26</v>
      </c>
      <c r="O9">
        <v>167</v>
      </c>
      <c r="T9" t="s">
        <v>39</v>
      </c>
      <c r="U9">
        <v>403623.93900000001</v>
      </c>
      <c r="W9" t="s">
        <v>45</v>
      </c>
      <c r="X9" s="8">
        <v>2699500.5803</v>
      </c>
      <c r="Z9" t="s">
        <v>53</v>
      </c>
      <c r="AA9">
        <v>31</v>
      </c>
    </row>
    <row r="10" spans="1:27" x14ac:dyDescent="0.2">
      <c r="F10" t="s">
        <v>12</v>
      </c>
      <c r="G10">
        <v>203380.8701</v>
      </c>
      <c r="I10">
        <v>2016</v>
      </c>
      <c r="J10">
        <v>7</v>
      </c>
      <c r="K10">
        <v>199556.8089</v>
      </c>
      <c r="N10" t="s">
        <v>25</v>
      </c>
      <c r="O10">
        <v>269</v>
      </c>
      <c r="W10" t="s">
        <v>46</v>
      </c>
      <c r="X10" s="8">
        <v>2699500.5803</v>
      </c>
      <c r="Z10" t="s">
        <v>54</v>
      </c>
      <c r="AA10">
        <v>32</v>
      </c>
    </row>
    <row r="11" spans="1:27" x14ac:dyDescent="0.2">
      <c r="A11" t="s">
        <v>3</v>
      </c>
      <c r="F11" t="s">
        <v>13</v>
      </c>
      <c r="G11">
        <v>188249.62349999999</v>
      </c>
      <c r="I11">
        <v>2016</v>
      </c>
      <c r="J11">
        <v>8</v>
      </c>
      <c r="K11">
        <v>225657.37669999999</v>
      </c>
      <c r="N11" t="s">
        <v>24</v>
      </c>
      <c r="O11">
        <v>289</v>
      </c>
      <c r="Z11" t="s">
        <v>55</v>
      </c>
      <c r="AA11">
        <v>32</v>
      </c>
    </row>
    <row r="12" spans="1:27" x14ac:dyDescent="0.2">
      <c r="A12">
        <v>1444</v>
      </c>
      <c r="F12" t="s">
        <v>14</v>
      </c>
      <c r="G12">
        <v>175899.6482</v>
      </c>
      <c r="I12">
        <v>2016</v>
      </c>
      <c r="J12">
        <v>9</v>
      </c>
      <c r="K12">
        <v>273091.60969999997</v>
      </c>
      <c r="N12" t="s">
        <v>23</v>
      </c>
      <c r="O12">
        <v>290</v>
      </c>
      <c r="Z12" t="s">
        <v>56</v>
      </c>
      <c r="AA12">
        <v>33</v>
      </c>
    </row>
    <row r="13" spans="1:27" x14ac:dyDescent="0.2">
      <c r="F13" t="s">
        <v>15</v>
      </c>
      <c r="G13">
        <v>174524.73149999999</v>
      </c>
      <c r="I13">
        <v>2016</v>
      </c>
      <c r="J13">
        <v>10</v>
      </c>
      <c r="K13">
        <v>212078.08050000001</v>
      </c>
      <c r="N13" t="s">
        <v>22</v>
      </c>
      <c r="O13">
        <v>295</v>
      </c>
      <c r="Z13" t="s">
        <v>57</v>
      </c>
      <c r="AA13">
        <v>33</v>
      </c>
    </row>
    <row r="14" spans="1:27" x14ac:dyDescent="0.2">
      <c r="A14" t="s">
        <v>4</v>
      </c>
      <c r="I14">
        <v>2016</v>
      </c>
      <c r="J14">
        <v>11</v>
      </c>
      <c r="K14">
        <v>182329.4124</v>
      </c>
    </row>
    <row r="15" spans="1:27" x14ac:dyDescent="0.2">
      <c r="A15">
        <v>7062</v>
      </c>
      <c r="I15">
        <v>2016</v>
      </c>
      <c r="J15">
        <v>12</v>
      </c>
      <c r="K15">
        <v>199829.9792</v>
      </c>
    </row>
    <row r="16" spans="1:27" x14ac:dyDescent="0.2">
      <c r="I16">
        <v>2017</v>
      </c>
      <c r="J16">
        <v>1</v>
      </c>
      <c r="K16">
        <v>285616.484</v>
      </c>
    </row>
    <row r="17" spans="9:11" x14ac:dyDescent="0.2">
      <c r="I17">
        <v>2017</v>
      </c>
      <c r="J17">
        <v>2</v>
      </c>
      <c r="K17">
        <v>312923.74699999997</v>
      </c>
    </row>
    <row r="18" spans="9:11" x14ac:dyDescent="0.2">
      <c r="I18">
        <v>2017</v>
      </c>
      <c r="J18">
        <v>3</v>
      </c>
      <c r="K18">
        <v>308911.90179999999</v>
      </c>
    </row>
    <row r="19" spans="9:11" x14ac:dyDescent="0.2">
      <c r="I19">
        <v>2017</v>
      </c>
      <c r="J19">
        <v>4</v>
      </c>
      <c r="K19">
        <v>227290.91310000001</v>
      </c>
    </row>
    <row r="20" spans="9:11" x14ac:dyDescent="0.2">
      <c r="I20">
        <v>2017</v>
      </c>
      <c r="J20">
        <v>5</v>
      </c>
      <c r="K20">
        <v>268233.23790000001</v>
      </c>
    </row>
    <row r="21" spans="9:11" x14ac:dyDescent="0.2">
      <c r="I21">
        <v>2017</v>
      </c>
      <c r="J21">
        <v>6</v>
      </c>
      <c r="K21">
        <v>378865.65350000001</v>
      </c>
    </row>
    <row r="22" spans="9:11" x14ac:dyDescent="0.2">
      <c r="I22">
        <v>2017</v>
      </c>
      <c r="J22">
        <v>7</v>
      </c>
      <c r="K22">
        <v>229995.39790000001</v>
      </c>
    </row>
    <row r="23" spans="9:11" x14ac:dyDescent="0.2">
      <c r="I23">
        <v>2017</v>
      </c>
      <c r="J23">
        <v>8</v>
      </c>
      <c r="K23">
        <v>284023.39270000003</v>
      </c>
    </row>
    <row r="24" spans="9:11" x14ac:dyDescent="0.2">
      <c r="I24">
        <v>2017</v>
      </c>
      <c r="J24">
        <v>9</v>
      </c>
      <c r="K24">
        <v>293405.2561</v>
      </c>
    </row>
    <row r="25" spans="9:11" x14ac:dyDescent="0.2">
      <c r="I25">
        <v>2017</v>
      </c>
      <c r="J25">
        <v>10</v>
      </c>
      <c r="K25">
        <v>310328.30900000001</v>
      </c>
    </row>
    <row r="26" spans="9:11" x14ac:dyDescent="0.2">
      <c r="I26">
        <v>2017</v>
      </c>
      <c r="J26">
        <v>11</v>
      </c>
      <c r="K26">
        <v>281577.9019</v>
      </c>
    </row>
    <row r="27" spans="9:11" x14ac:dyDescent="0.2">
      <c r="I27">
        <v>2017</v>
      </c>
      <c r="J27">
        <v>12</v>
      </c>
      <c r="K27">
        <v>259505.98490000001</v>
      </c>
    </row>
    <row r="28" spans="9:11" x14ac:dyDescent="0.2">
      <c r="I28">
        <v>2018</v>
      </c>
      <c r="J28">
        <v>1</v>
      </c>
      <c r="K28">
        <v>381430.0993</v>
      </c>
    </row>
    <row r="29" spans="9:11" x14ac:dyDescent="0.2">
      <c r="I29">
        <v>2018</v>
      </c>
      <c r="J29">
        <v>2</v>
      </c>
      <c r="K29">
        <v>200658.06150000001</v>
      </c>
    </row>
    <row r="30" spans="9:11" x14ac:dyDescent="0.2">
      <c r="I30">
        <v>2018</v>
      </c>
      <c r="J30">
        <v>3</v>
      </c>
      <c r="K30">
        <v>363990.99349999998</v>
      </c>
    </row>
    <row r="31" spans="9:11" x14ac:dyDescent="0.2">
      <c r="I31">
        <v>2018</v>
      </c>
      <c r="J31">
        <v>4</v>
      </c>
      <c r="K31">
        <v>800740.81530000002</v>
      </c>
    </row>
    <row r="32" spans="9:11" x14ac:dyDescent="0.2">
      <c r="I32">
        <v>2018</v>
      </c>
      <c r="J32">
        <v>6</v>
      </c>
      <c r="K32">
        <v>188.99100000000001</v>
      </c>
    </row>
    <row r="33" spans="9:11" x14ac:dyDescent="0.2">
      <c r="I33">
        <v>2018</v>
      </c>
      <c r="J33">
        <v>7</v>
      </c>
      <c r="K33">
        <v>11337.9002</v>
      </c>
    </row>
    <row r="34" spans="9:11" x14ac:dyDescent="0.2">
      <c r="I34">
        <v>2018</v>
      </c>
      <c r="J34">
        <v>8</v>
      </c>
      <c r="K34">
        <v>8377.8147000000008</v>
      </c>
    </row>
    <row r="35" spans="9:11" x14ac:dyDescent="0.2">
      <c r="I35">
        <v>2018</v>
      </c>
      <c r="J35">
        <v>10</v>
      </c>
      <c r="K35">
        <v>3781.1284000000001</v>
      </c>
    </row>
    <row r="36" spans="9:11" x14ac:dyDescent="0.2">
      <c r="I36">
        <v>2018</v>
      </c>
      <c r="J36">
        <v>11</v>
      </c>
      <c r="K36">
        <v>11362.007100000001</v>
      </c>
    </row>
    <row r="37" spans="9:11" x14ac:dyDescent="0.2">
      <c r="I37">
        <v>2018</v>
      </c>
      <c r="J37">
        <v>12</v>
      </c>
      <c r="K37">
        <v>6516.9666999999999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</dc:creator>
  <cp:lastModifiedBy>Abdalla</cp:lastModifiedBy>
  <dcterms:created xsi:type="dcterms:W3CDTF">2026-06-11T16:35:53Z</dcterms:created>
  <dcterms:modified xsi:type="dcterms:W3CDTF">2026-06-13T02:03:31Z</dcterms:modified>
</cp:coreProperties>
</file>